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\Desktop\Paper\KI Wildau 2026 Algorithmic Entrepreneurship\"/>
    </mc:Choice>
  </mc:AlternateContent>
  <xr:revisionPtr revIDLastSave="0" documentId="13_ncr:1_{0634963E-CA82-4E32-AF6C-6CBE8FB6B3DE}" xr6:coauthVersionLast="47" xr6:coauthVersionMax="47" xr10:uidLastSave="{00000000-0000-0000-0000-000000000000}"/>
  <bookViews>
    <workbookView xWindow="-110" yWindow="-110" windowWidth="19420" windowHeight="10420" xr2:uid="{C6C1ED92-0AA7-4C3F-8DC4-0DCB0EF3C63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D13" i="1"/>
  <c r="D20" i="1" s="1"/>
  <c r="C13" i="1"/>
  <c r="C20" i="1" s="1"/>
  <c r="B13" i="1"/>
  <c r="B20" i="1" s="1"/>
  <c r="F12" i="1"/>
  <c r="F19" i="1" s="1"/>
  <c r="D12" i="1"/>
  <c r="D19" i="1" s="1"/>
  <c r="C12" i="1"/>
  <c r="C19" i="1" s="1"/>
  <c r="B12" i="1"/>
  <c r="D11" i="1"/>
  <c r="D18" i="1" s="1"/>
  <c r="C11" i="1"/>
  <c r="C18" i="1" s="1"/>
  <c r="B11" i="1"/>
  <c r="B18" i="1" s="1"/>
  <c r="D10" i="1"/>
  <c r="D17" i="1" s="1"/>
  <c r="C10" i="1"/>
  <c r="C17" i="1" s="1"/>
  <c r="B10" i="1"/>
  <c r="B17" i="1" s="1"/>
  <c r="J6" i="1"/>
  <c r="G13" i="1" s="1"/>
  <c r="I6" i="1"/>
  <c r="F13" i="1" s="1"/>
  <c r="F20" i="1" s="1"/>
  <c r="G6" i="1"/>
  <c r="E13" i="1" s="1"/>
  <c r="J5" i="1"/>
  <c r="K5" i="1" s="1"/>
  <c r="I5" i="1"/>
  <c r="G5" i="1"/>
  <c r="E12" i="1" s="1"/>
  <c r="J4" i="1"/>
  <c r="K4" i="1" s="1"/>
  <c r="I4" i="1"/>
  <c r="F11" i="1" s="1"/>
  <c r="F18" i="1" s="1"/>
  <c r="G4" i="1"/>
  <c r="E11" i="1" s="1"/>
  <c r="J3" i="1"/>
  <c r="G10" i="1" s="1"/>
  <c r="I3" i="1"/>
  <c r="F10" i="1" s="1"/>
  <c r="F17" i="1" s="1"/>
  <c r="G3" i="1"/>
  <c r="E10" i="1" s="1"/>
  <c r="G12" i="1" l="1"/>
  <c r="K3" i="1"/>
  <c r="G11" i="1"/>
  <c r="K6" i="1"/>
</calcChain>
</file>

<file path=xl/sharedStrings.xml><?xml version="1.0" encoding="utf-8"?>
<sst xmlns="http://schemas.openxmlformats.org/spreadsheetml/2006/main" count="36" uniqueCount="31">
  <si>
    <t>Data and calculations</t>
  </si>
  <si>
    <t>Year</t>
  </si>
  <si>
    <t>fee level max</t>
  </si>
  <si>
    <t>fee level min</t>
  </si>
  <si>
    <t>avg fee level</t>
  </si>
  <si>
    <t>transactions</t>
  </si>
  <si>
    <t>volume (USD)</t>
  </si>
  <si>
    <t>volume USD (rounded)</t>
  </si>
  <si>
    <t>FTE</t>
  </si>
  <si>
    <t>transactions per FTE</t>
  </si>
  <si>
    <t>volume per FTE</t>
  </si>
  <si>
    <t>volume per FTE (rounded)</t>
  </si>
  <si>
    <t>Table 2 Detailed numbers</t>
  </si>
  <si>
    <t>Avg. FTE</t>
  </si>
  <si>
    <t>Fee Level (avg.)</t>
  </si>
  <si>
    <t xml:space="preserve">Transactions </t>
  </si>
  <si>
    <t>Trading Volume (USD)</t>
  </si>
  <si>
    <t>Transactions per FTE</t>
  </si>
  <si>
    <t>Volume per FTE (USD)</t>
  </si>
  <si>
    <t xml:space="preserve">Table 2 Result </t>
  </si>
  <si>
    <t>Transactions (cum.)</t>
  </si>
  <si>
    <t>Trading Volume (cum.)</t>
  </si>
  <si>
    <t>Transactions  per FTE</t>
  </si>
  <si>
    <t xml:space="preserve"> $ 0.60 bn</t>
  </si>
  <si>
    <t>0.40 bn</t>
  </si>
  <si>
    <t>$ 0.22 bn</t>
  </si>
  <si>
    <t>0.04 bn</t>
  </si>
  <si>
    <t>$ 3.76 bn</t>
  </si>
  <si>
    <t>0.99 bn</t>
  </si>
  <si>
    <t>$ 25.47 bn</t>
  </si>
  <si>
    <t>6.48 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</si>
</sst>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%"/>
    <numFmt numFmtId="165" formatCode="_-* #,##0_-;\-* #,##0_-;_-* &quot;-&quot;??_-;_-@_-"/>
    <numFmt numFmtId="166" formatCode="_-[$$-409]* #,##0.00_ ;_-[$$-409]* \-#,##0.00\ ;_-[$$-409]* &quot;-&quot;??_ ;_-@_ "/>
    <numFmt numFmtId="167" formatCode="_-[$$-409]* #,##0_ ;_-[$$-409]* \-#,##0\ ;_-[$$-409]* &quot;-&quot;??_ ;_-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167" fontId="3" fillId="0" borderId="0" xfId="0" applyNumberFormat="1" applyFont="1" applyAlignment="1">
      <alignment vertical="center" wrapText="1"/>
    </xf>
    <xf numFmtId="166" fontId="3" fillId="0" borderId="0" xfId="0" applyNumberFormat="1" applyFont="1" applyAlignment="1">
      <alignment vertical="center" wrapText="1"/>
    </xf>
    <xf numFmtId="166" fontId="3" fillId="0" borderId="0" xfId="0" applyNumberFormat="1" applyFont="1" applyAlignment="1">
      <alignment horizontal="right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164" fontId="3" fillId="0" borderId="0" xfId="2" applyNumberFormat="1" applyFont="1"/>
    <xf numFmtId="165" fontId="3" fillId="0" borderId="0" xfId="1" applyNumberFormat="1" applyFont="1"/>
    <xf numFmtId="166" fontId="3" fillId="0" borderId="0" xfId="1" applyNumberFormat="1" applyFont="1"/>
    <xf numFmtId="167" fontId="3" fillId="0" borderId="0" xfId="1" applyNumberFormat="1" applyFont="1"/>
    <xf numFmtId="165" fontId="3" fillId="0" borderId="0" xfId="0" applyNumberFormat="1" applyFont="1"/>
    <xf numFmtId="166" fontId="3" fillId="0" borderId="0" xfId="0" applyNumberFormat="1" applyFo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164" fontId="4" fillId="0" borderId="0" xfId="0" applyNumberFormat="1" applyFont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FA2E-6306-4C6E-AAFE-0BF50A39ECC1}">
  <dimension ref="A1:K25"/>
  <sheetViews>
    <sheetView tabSelected="1" workbookViewId="0">
      <selection activeCell="I4" sqref="I4"/>
    </sheetView>
  </sheetViews>
  <sheetFormatPr baseColWidth="10" defaultRowHeight="12.5" x14ac:dyDescent="0.25"/>
  <cols>
    <col min="1" max="1" width="10.90625" style="9"/>
    <col min="2" max="2" width="12" style="9" bestFit="1" customWidth="1"/>
    <col min="3" max="3" width="11.54296875" style="9" bestFit="1" customWidth="1"/>
    <col min="4" max="4" width="12.08984375" style="9" bestFit="1" customWidth="1"/>
    <col min="5" max="5" width="15.54296875" style="9" bestFit="1" customWidth="1"/>
    <col min="6" max="6" width="18.26953125" style="9" bestFit="1" customWidth="1"/>
    <col min="7" max="7" width="23.54296875" style="9" bestFit="1" customWidth="1"/>
    <col min="8" max="8" width="4.81640625" style="9" bestFit="1" customWidth="1"/>
    <col min="9" max="9" width="19" style="9" bestFit="1" customWidth="1"/>
    <col min="10" max="10" width="17.26953125" style="9" bestFit="1" customWidth="1"/>
    <col min="11" max="12" width="26.7265625" style="9" bestFit="1" customWidth="1"/>
    <col min="13" max="16384" width="10.90625" style="9"/>
  </cols>
  <sheetData>
    <row r="1" spans="1:11" s="7" customFormat="1" ht="13" x14ac:dyDescent="0.3">
      <c r="A1" s="7" t="s">
        <v>0</v>
      </c>
    </row>
    <row r="2" spans="1:11" ht="13" x14ac:dyDescent="0.3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</row>
    <row r="3" spans="1:11" x14ac:dyDescent="0.25">
      <c r="A3" s="10">
        <v>2021</v>
      </c>
      <c r="B3" s="11">
        <v>2.5999999999999999E-3</v>
      </c>
      <c r="C3" s="11">
        <v>1.1000000000000001E-3</v>
      </c>
      <c r="D3" s="11">
        <v>1.5035616438356038E-3</v>
      </c>
      <c r="E3" s="12">
        <v>360124</v>
      </c>
      <c r="F3" s="13">
        <v>603130156.55999994</v>
      </c>
      <c r="G3" s="14">
        <f>ROUND(F3,0)</f>
        <v>603130157</v>
      </c>
      <c r="H3" s="10">
        <v>1.52</v>
      </c>
      <c r="I3" s="15">
        <f>E3/H3</f>
        <v>236923.68421052632</v>
      </c>
      <c r="J3" s="16">
        <f>F3/H3</f>
        <v>396796155.63157892</v>
      </c>
      <c r="K3" s="14">
        <f>ROUND(J3,0)</f>
        <v>396796156</v>
      </c>
    </row>
    <row r="4" spans="1:11" x14ac:dyDescent="0.25">
      <c r="A4" s="10">
        <v>2022</v>
      </c>
      <c r="B4" s="11">
        <v>1.1999999999999999E-3</v>
      </c>
      <c r="C4" s="11">
        <v>2.0000000000000001E-4</v>
      </c>
      <c r="D4" s="11">
        <v>1.0424657534246623E-3</v>
      </c>
      <c r="E4" s="12">
        <v>165853</v>
      </c>
      <c r="F4" s="13">
        <v>215775622.16999996</v>
      </c>
      <c r="G4" s="14">
        <f>ROUND(F4,0)</f>
        <v>215775622</v>
      </c>
      <c r="H4" s="10">
        <v>5.08</v>
      </c>
      <c r="I4" s="15">
        <f t="shared" ref="I4:I6" si="0">E4/H4</f>
        <v>32648.228346456694</v>
      </c>
      <c r="J4" s="16">
        <f t="shared" ref="J4:J6" si="1">F4/H4</f>
        <v>42475516.175196841</v>
      </c>
      <c r="K4" s="14">
        <f>ROUND(J4,0)</f>
        <v>42475516</v>
      </c>
    </row>
    <row r="5" spans="1:11" x14ac:dyDescent="0.25">
      <c r="A5" s="10">
        <v>2023</v>
      </c>
      <c r="B5" s="11">
        <v>1.2999999999999999E-3</v>
      </c>
      <c r="C5" s="11">
        <v>1.4999999999999999E-4</v>
      </c>
      <c r="D5" s="11">
        <v>5.8876712328767111E-4</v>
      </c>
      <c r="E5" s="12">
        <v>716828.5</v>
      </c>
      <c r="F5" s="13">
        <v>3763236025.6300001</v>
      </c>
      <c r="G5" s="14">
        <f>ROUND(F5,0)</f>
        <v>3763236026</v>
      </c>
      <c r="H5" s="10">
        <v>3.79</v>
      </c>
      <c r="I5" s="15">
        <f t="shared" si="0"/>
        <v>189136.80738786279</v>
      </c>
      <c r="J5" s="16">
        <f t="shared" si="1"/>
        <v>992938265.33773088</v>
      </c>
      <c r="K5" s="14">
        <f>ROUND(J5,0)</f>
        <v>992938265</v>
      </c>
    </row>
    <row r="6" spans="1:11" x14ac:dyDescent="0.25">
      <c r="A6" s="10">
        <v>2024</v>
      </c>
      <c r="B6" s="11">
        <v>1.4999999999999999E-4</v>
      </c>
      <c r="C6" s="11">
        <v>1E-4</v>
      </c>
      <c r="D6" s="11">
        <v>1.3013698630137127E-4</v>
      </c>
      <c r="E6" s="12">
        <v>3061794</v>
      </c>
      <c r="F6" s="13">
        <v>25471967993.8172</v>
      </c>
      <c r="G6" s="14">
        <f>ROUND(F6,0)</f>
        <v>25471967994</v>
      </c>
      <c r="H6" s="10">
        <v>3.93</v>
      </c>
      <c r="I6" s="15">
        <f t="shared" si="0"/>
        <v>779082.44274809153</v>
      </c>
      <c r="J6" s="16">
        <f t="shared" si="1"/>
        <v>6481416792.3198977</v>
      </c>
      <c r="K6" s="14">
        <f>ROUND(J6,0)</f>
        <v>6481416792</v>
      </c>
    </row>
    <row r="7" spans="1:11" x14ac:dyDescent="0.25">
      <c r="A7" s="17"/>
      <c r="B7" s="17"/>
      <c r="C7" s="17"/>
      <c r="D7" s="17"/>
      <c r="E7" s="17"/>
      <c r="F7" s="10"/>
      <c r="G7" s="10"/>
      <c r="H7" s="10"/>
      <c r="I7" s="10"/>
      <c r="J7" s="10"/>
      <c r="K7" s="10"/>
    </row>
    <row r="8" spans="1:11" ht="13" x14ac:dyDescent="0.3">
      <c r="A8" s="7" t="s">
        <v>12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ht="26" x14ac:dyDescent="0.25">
      <c r="A9" s="1" t="s">
        <v>1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18</v>
      </c>
      <c r="I9" s="10"/>
      <c r="J9" s="10"/>
      <c r="K9" s="10"/>
    </row>
    <row r="10" spans="1:11" x14ac:dyDescent="0.25">
      <c r="A10" s="2">
        <v>2021</v>
      </c>
      <c r="B10" s="10">
        <f>H3</f>
        <v>1.52</v>
      </c>
      <c r="C10" s="18">
        <f>D3</f>
        <v>1.5035616438356038E-3</v>
      </c>
      <c r="D10" s="3">
        <f>E3</f>
        <v>360124</v>
      </c>
      <c r="E10" s="4">
        <f>G3</f>
        <v>603130157</v>
      </c>
      <c r="F10" s="3">
        <f>I3</f>
        <v>236923.68421052632</v>
      </c>
      <c r="G10" s="5">
        <f>J3</f>
        <v>396796155.63157892</v>
      </c>
      <c r="I10" s="10"/>
      <c r="J10" s="10"/>
      <c r="K10" s="10"/>
    </row>
    <row r="11" spans="1:11" x14ac:dyDescent="0.25">
      <c r="A11" s="2">
        <v>2022</v>
      </c>
      <c r="B11" s="10">
        <f>H4</f>
        <v>5.08</v>
      </c>
      <c r="C11" s="18">
        <f>D4</f>
        <v>1.0424657534246623E-3</v>
      </c>
      <c r="D11" s="3">
        <f>E4</f>
        <v>165853</v>
      </c>
      <c r="E11" s="4">
        <f>G4</f>
        <v>215775622</v>
      </c>
      <c r="F11" s="3">
        <f>I4</f>
        <v>32648.228346456694</v>
      </c>
      <c r="G11" s="5">
        <f>J4</f>
        <v>42475516.175196841</v>
      </c>
      <c r="I11" s="10"/>
      <c r="J11" s="10"/>
      <c r="K11" s="10"/>
    </row>
    <row r="12" spans="1:11" x14ac:dyDescent="0.25">
      <c r="A12" s="2">
        <v>2023</v>
      </c>
      <c r="B12" s="10">
        <f>H5</f>
        <v>3.79</v>
      </c>
      <c r="C12" s="18">
        <f>D5</f>
        <v>5.8876712328767111E-4</v>
      </c>
      <c r="D12" s="3">
        <f>E5</f>
        <v>716828.5</v>
      </c>
      <c r="E12" s="4">
        <f>G5</f>
        <v>3763236026</v>
      </c>
      <c r="F12" s="3">
        <f>I5</f>
        <v>189136.80738786279</v>
      </c>
      <c r="G12" s="5">
        <f>J5</f>
        <v>992938265.33773088</v>
      </c>
      <c r="I12" s="10"/>
      <c r="J12" s="10"/>
      <c r="K12" s="10"/>
    </row>
    <row r="13" spans="1:11" x14ac:dyDescent="0.25">
      <c r="A13" s="2">
        <v>2024</v>
      </c>
      <c r="B13" s="10">
        <f>H6</f>
        <v>3.93</v>
      </c>
      <c r="C13" s="18">
        <f>D6</f>
        <v>1.3013698630137127E-4</v>
      </c>
      <c r="D13" s="3">
        <f>E6</f>
        <v>3061794</v>
      </c>
      <c r="E13" s="4">
        <f>G6</f>
        <v>25471967994</v>
      </c>
      <c r="F13" s="3">
        <f>I6</f>
        <v>779082.44274809153</v>
      </c>
      <c r="G13" s="5">
        <f>J6</f>
        <v>6481416792.3198977</v>
      </c>
      <c r="I13" s="10"/>
      <c r="J13" s="10"/>
      <c r="K13" s="10"/>
    </row>
    <row r="14" spans="1:11" x14ac:dyDescent="0.25">
      <c r="A14" s="19"/>
      <c r="B14" s="10"/>
      <c r="C14" s="10"/>
      <c r="D14" s="10"/>
      <c r="E14" s="10"/>
      <c r="F14" s="10"/>
      <c r="G14" s="10"/>
      <c r="I14" s="10"/>
      <c r="J14" s="10"/>
      <c r="K14" s="10"/>
    </row>
    <row r="15" spans="1:11" ht="13" x14ac:dyDescent="0.3">
      <c r="A15" s="7" t="s">
        <v>19</v>
      </c>
      <c r="B15" s="10"/>
      <c r="C15" s="10"/>
      <c r="D15" s="10"/>
      <c r="E15" s="10"/>
      <c r="F15" s="10"/>
      <c r="G15" s="10"/>
      <c r="I15" s="10"/>
      <c r="J15" s="10"/>
      <c r="K15" s="10"/>
    </row>
    <row r="16" spans="1:11" ht="26" x14ac:dyDescent="0.25">
      <c r="A16" s="1" t="s">
        <v>1</v>
      </c>
      <c r="B16" s="1" t="s">
        <v>13</v>
      </c>
      <c r="C16" s="1" t="s">
        <v>14</v>
      </c>
      <c r="D16" s="1" t="s">
        <v>20</v>
      </c>
      <c r="E16" s="1" t="s">
        <v>21</v>
      </c>
      <c r="F16" s="1" t="s">
        <v>22</v>
      </c>
      <c r="G16" s="1" t="s">
        <v>18</v>
      </c>
      <c r="I16" s="10"/>
      <c r="J16" s="10"/>
      <c r="K16" s="10"/>
    </row>
    <row r="17" spans="1:11" x14ac:dyDescent="0.25">
      <c r="A17" s="2">
        <v>2021</v>
      </c>
      <c r="B17" s="10">
        <f>B10</f>
        <v>1.52</v>
      </c>
      <c r="C17" s="11">
        <f>C10</f>
        <v>1.5035616438356038E-3</v>
      </c>
      <c r="D17" s="3">
        <f t="shared" ref="D17:G17" si="2">D10</f>
        <v>360124</v>
      </c>
      <c r="E17" s="20" t="s">
        <v>23</v>
      </c>
      <c r="F17" s="12">
        <f>F10</f>
        <v>236923.68421052632</v>
      </c>
      <c r="G17" s="6" t="s">
        <v>24</v>
      </c>
      <c r="I17" s="10"/>
      <c r="J17" s="10"/>
      <c r="K17" s="10"/>
    </row>
    <row r="18" spans="1:11" x14ac:dyDescent="0.25">
      <c r="A18" s="2">
        <v>2022</v>
      </c>
      <c r="B18" s="10">
        <f t="shared" ref="B18:G20" si="3">B11</f>
        <v>5.08</v>
      </c>
      <c r="C18" s="11">
        <f>C11</f>
        <v>1.0424657534246623E-3</v>
      </c>
      <c r="D18" s="3">
        <f t="shared" si="3"/>
        <v>165853</v>
      </c>
      <c r="E18" s="20" t="s">
        <v>25</v>
      </c>
      <c r="F18" s="12">
        <f>F11</f>
        <v>32648.228346456694</v>
      </c>
      <c r="G18" s="6" t="s">
        <v>26</v>
      </c>
      <c r="I18" s="10"/>
      <c r="J18" s="10"/>
      <c r="K18" s="10"/>
    </row>
    <row r="19" spans="1:11" x14ac:dyDescent="0.25">
      <c r="A19" s="2">
        <v>2023</v>
      </c>
      <c r="B19" s="10">
        <f t="shared" si="3"/>
        <v>3.79</v>
      </c>
      <c r="C19" s="11">
        <f>C12</f>
        <v>5.8876712328767111E-4</v>
      </c>
      <c r="D19" s="3">
        <f t="shared" si="3"/>
        <v>716828.5</v>
      </c>
      <c r="E19" s="20" t="s">
        <v>27</v>
      </c>
      <c r="F19" s="12">
        <f>F12</f>
        <v>189136.80738786279</v>
      </c>
      <c r="G19" s="6" t="s">
        <v>28</v>
      </c>
      <c r="I19" s="10"/>
      <c r="J19" s="10"/>
      <c r="K19" s="10"/>
    </row>
    <row r="20" spans="1:11" x14ac:dyDescent="0.25">
      <c r="A20" s="2">
        <v>2024</v>
      </c>
      <c r="B20" s="10">
        <f t="shared" si="3"/>
        <v>3.93</v>
      </c>
      <c r="C20" s="11">
        <f>C13</f>
        <v>1.3013698630137127E-4</v>
      </c>
      <c r="D20" s="3">
        <f t="shared" si="3"/>
        <v>3061794</v>
      </c>
      <c r="E20" s="20" t="s">
        <v>29</v>
      </c>
      <c r="F20" s="12">
        <f>F13</f>
        <v>779082.44274809153</v>
      </c>
      <c r="G20" s="6" t="s">
        <v>30</v>
      </c>
      <c r="I20" s="10"/>
      <c r="J20" s="10"/>
      <c r="K20" s="10"/>
    </row>
    <row r="21" spans="1:11" ht="13" x14ac:dyDescent="0.25">
      <c r="A21" s="1"/>
      <c r="B21" s="1"/>
      <c r="C21" s="1"/>
      <c r="D21" s="1"/>
      <c r="E21" s="1"/>
      <c r="F21" s="1"/>
      <c r="G21" s="1"/>
      <c r="H21" s="5"/>
      <c r="I21" s="10"/>
      <c r="J21" s="10"/>
      <c r="K21" s="10"/>
    </row>
    <row r="22" spans="1:11" x14ac:dyDescent="0.25">
      <c r="A22" s="2"/>
      <c r="B22" s="10"/>
      <c r="C22" s="10"/>
      <c r="D22" s="3"/>
      <c r="E22" s="4"/>
      <c r="F22" s="18"/>
      <c r="G22" s="3"/>
      <c r="H22" s="5"/>
      <c r="I22" s="10"/>
      <c r="J22" s="10"/>
      <c r="K22" s="10"/>
    </row>
    <row r="23" spans="1:11" x14ac:dyDescent="0.25">
      <c r="A23" s="2"/>
      <c r="B23" s="10"/>
      <c r="C23" s="10"/>
      <c r="D23" s="3"/>
      <c r="E23" s="4"/>
      <c r="F23" s="18"/>
      <c r="G23" s="3"/>
      <c r="H23" s="5"/>
      <c r="I23" s="10"/>
      <c r="J23" s="10"/>
      <c r="K23" s="10"/>
    </row>
    <row r="24" spans="1:11" x14ac:dyDescent="0.25">
      <c r="A24" s="2"/>
      <c r="B24" s="10"/>
      <c r="C24" s="10"/>
      <c r="D24" s="3"/>
      <c r="E24" s="4"/>
      <c r="F24" s="18"/>
      <c r="G24" s="3"/>
      <c r="H24" s="5"/>
      <c r="I24" s="10"/>
      <c r="J24" s="10"/>
      <c r="K24" s="10"/>
    </row>
    <row r="25" spans="1:11" x14ac:dyDescent="0.25">
      <c r="A25" s="2"/>
      <c r="D25" s="3"/>
      <c r="E25" s="4"/>
      <c r="F25" s="21"/>
      <c r="G25" s="3"/>
      <c r="H25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Henker</dc:creator>
  <cp:lastModifiedBy>Robert Henker</cp:lastModifiedBy>
  <dcterms:created xsi:type="dcterms:W3CDTF">2026-02-19T19:44:05Z</dcterms:created>
  <dcterms:modified xsi:type="dcterms:W3CDTF">2026-02-19T19:46:37Z</dcterms:modified>
</cp:coreProperties>
</file>